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ztorys projek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PLN&quot;"/>
    <numFmt numFmtId="165" formatCode="0 &quot;godz.&quot;"/>
    <numFmt numFmtId="166" formatCode="0.00 &quot;PLN&quot;"/>
  </numFmts>
  <fonts count="11">
    <font>
      <name val="Calibri"/>
      <family val="2"/>
      <color theme="1"/>
      <sz val="11"/>
      <scheme val="minor"/>
    </font>
    <font>
      <name val="Arial"/>
      <b val="1"/>
      <color rgb="002E5496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EEF3FF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165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164" fontId="7" fillId="3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8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9" fillId="7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32" customHeight="1">
      <c r="A1" s="1" t="inlineStr">
        <is>
          <t>Kosztorys projektu – SecureVault (Password Manager)</t>
        </is>
      </c>
    </row>
    <row r="2" ht="15" customHeight="1">
      <c r="A2" s="2" t="inlineStr">
        <is>
          <t>Przedmiot: Inżynieria Oprogramowania  |  Laboratorium 2, pkt. 8  |  Semestr letni 2025/2026</t>
        </is>
      </c>
    </row>
    <row r="4" ht="20" customHeight="1">
      <c r="A4" s="3" t="inlineStr">
        <is>
          <t>SEKCJA 1 — Nakład pracy według ról</t>
        </is>
      </c>
    </row>
    <row r="5" ht="22" customHeight="1">
      <c r="A5" s="4" t="inlineStr">
        <is>
          <t>Lp.</t>
        </is>
      </c>
      <c r="B5" s="4" t="inlineStr">
        <is>
          <t>Rola w projekcie</t>
        </is>
      </c>
      <c r="C5" s="4" t="inlineStr">
        <is>
          <t>Opis roli</t>
        </is>
      </c>
      <c r="D5" s="4" t="inlineStr">
        <is>
          <t>Liczba osób</t>
        </is>
      </c>
      <c r="E5" s="4" t="inlineStr">
        <is>
          <t>Nakład [godz.]</t>
        </is>
      </c>
      <c r="F5" s="4" t="inlineStr">
        <is>
          <t>Stawka [PLN/godz.]</t>
        </is>
      </c>
      <c r="G5" s="4" t="inlineStr">
        <is>
          <t>Koszt [PLN]</t>
        </is>
      </c>
    </row>
    <row r="6" ht="18" customHeight="1">
      <c r="A6" s="5" t="n">
        <v>1</v>
      </c>
      <c r="B6" s="6" t="inlineStr">
        <is>
          <t>Kierownik projektu</t>
        </is>
      </c>
      <c r="C6" s="7" t="inlineStr">
        <is>
          <t>Zarządza projektem, planuje, raportuje</t>
        </is>
      </c>
      <c r="D6" s="8" t="n">
        <v>1</v>
      </c>
      <c r="E6" s="9" t="n">
        <v>40</v>
      </c>
      <c r="F6" s="10" t="n">
        <v>120</v>
      </c>
      <c r="G6" s="11">
        <f>D6*E6*F6</f>
        <v/>
      </c>
    </row>
    <row r="7" ht="18" customHeight="1">
      <c r="A7" s="12" t="n">
        <v>2</v>
      </c>
      <c r="B7" s="13" t="inlineStr">
        <is>
          <t>Analityk</t>
        </is>
      </c>
      <c r="C7" s="14" t="inlineStr">
        <is>
          <t>Zbiera wymagania, tworzy specyfikacje, use case'y</t>
        </is>
      </c>
      <c r="D7" s="15" t="n">
        <v>1</v>
      </c>
      <c r="E7" s="16" t="n">
        <v>60</v>
      </c>
      <c r="F7" s="17" t="n">
        <v>90</v>
      </c>
      <c r="G7" s="18">
        <f>D7*E7*F7</f>
        <v/>
      </c>
    </row>
    <row r="8" ht="18" customHeight="1">
      <c r="A8" s="5" t="n">
        <v>3</v>
      </c>
      <c r="B8" s="6" t="inlineStr">
        <is>
          <t>Architekt systemu</t>
        </is>
      </c>
      <c r="C8" s="7" t="inlineStr">
        <is>
          <t>Projektuje architekturę, diagramy UML</t>
        </is>
      </c>
      <c r="D8" s="8" t="n">
        <v>1</v>
      </c>
      <c r="E8" s="9" t="n">
        <v>30</v>
      </c>
      <c r="F8" s="10" t="n">
        <v>110</v>
      </c>
      <c r="G8" s="11">
        <f>D8*E8*F8</f>
        <v/>
      </c>
    </row>
    <row r="9" ht="18" customHeight="1">
      <c r="A9" s="12" t="n">
        <v>4</v>
      </c>
      <c r="B9" s="13" t="inlineStr">
        <is>
          <t>Projektant UI</t>
        </is>
      </c>
      <c r="C9" s="14" t="inlineStr">
        <is>
          <t>Tworzy makiety i prototypy interfejsu</t>
        </is>
      </c>
      <c r="D9" s="15" t="n">
        <v>1</v>
      </c>
      <c r="E9" s="16" t="n">
        <v>20</v>
      </c>
      <c r="F9" s="17" t="n">
        <v>80</v>
      </c>
      <c r="G9" s="18">
        <f>D9*E9*F9</f>
        <v/>
      </c>
    </row>
    <row r="10" ht="18" customHeight="1">
      <c r="A10" s="5" t="n">
        <v>5</v>
      </c>
      <c r="B10" s="6" t="inlineStr">
        <is>
          <t>Programista</t>
        </is>
      </c>
      <c r="C10" s="7" t="inlineStr">
        <is>
          <t>Implementuje kod C#/.NET, WinForms, baza</t>
        </is>
      </c>
      <c r="D10" s="8" t="n">
        <v>1</v>
      </c>
      <c r="E10" s="9" t="n">
        <v>120</v>
      </c>
      <c r="F10" s="10" t="n">
        <v>100</v>
      </c>
      <c r="G10" s="11">
        <f>D10*E10*F10</f>
        <v/>
      </c>
    </row>
    <row r="11" ht="18" customHeight="1">
      <c r="A11" s="12" t="n">
        <v>6</v>
      </c>
      <c r="B11" s="13" t="inlineStr">
        <is>
          <t>Tester</t>
        </is>
      </c>
      <c r="C11" s="14" t="inlineStr">
        <is>
          <t>Pisze i wykonuje testy, prowadzi bazę błędów</t>
        </is>
      </c>
      <c r="D11" s="15" t="n">
        <v>1</v>
      </c>
      <c r="E11" s="16" t="n">
        <v>50</v>
      </c>
      <c r="F11" s="17" t="n">
        <v>80</v>
      </c>
      <c r="G11" s="18">
        <f>D11*E11*F11</f>
        <v/>
      </c>
    </row>
    <row r="12" ht="22" customHeight="1">
      <c r="A12" s="19" t="inlineStr">
        <is>
          <t>ŁĄCZNY NAKŁAD PRACY I KOSZT PROJEKTU</t>
        </is>
      </c>
      <c r="B12" s="20" t="n"/>
      <c r="C12" s="20" t="n"/>
      <c r="D12" s="20" t="n"/>
      <c r="E12" s="21">
        <f>SUM(E6:E11)</f>
        <v/>
      </c>
      <c r="F12" s="20" t="n"/>
      <c r="G12" s="22">
        <f>SUM(G6:G11)</f>
        <v/>
      </c>
    </row>
    <row r="15" ht="20" customHeight="1">
      <c r="A15" s="3" t="inlineStr">
        <is>
          <t>SEKCJA 2 — Koszty dodatkowe (infrastruktura, licencje, narzędzia)</t>
        </is>
      </c>
    </row>
    <row r="16" ht="20" customHeight="1">
      <c r="A16" s="4" t="inlineStr">
        <is>
          <t>Lp.</t>
        </is>
      </c>
      <c r="B16" s="4" t="inlineStr">
        <is>
          <t>Kategoria</t>
        </is>
      </c>
      <c r="C16" s="4" t="inlineStr">
        <is>
          <t>Opis</t>
        </is>
      </c>
      <c r="D16" s="4" t="inlineStr">
        <is>
          <t>Ilość</t>
        </is>
      </c>
      <c r="E16" s="4" t="inlineStr">
        <is>
          <t>Jednostka</t>
        </is>
      </c>
      <c r="F16" s="4" t="inlineStr">
        <is>
          <t>Cena jedn. [PLN]</t>
        </is>
      </c>
      <c r="G16" s="4" t="inlineStr">
        <is>
          <t>Koszt [PLN]</t>
        </is>
      </c>
    </row>
    <row r="17" ht="18" customHeight="1">
      <c r="A17" s="5" t="n">
        <v>1</v>
      </c>
      <c r="B17" s="7" t="inlineStr">
        <is>
          <t>Licencje oprogramowania</t>
        </is>
      </c>
      <c r="C17" s="7" t="inlineStr">
        <is>
          <t>Visual Studio Community (bezpłatna)</t>
        </is>
      </c>
      <c r="D17" s="8" t="n">
        <v>1</v>
      </c>
      <c r="E17" s="5" t="inlineStr">
        <is>
          <t>szt.</t>
        </is>
      </c>
      <c r="F17" s="23" t="n">
        <v>0</v>
      </c>
      <c r="G17" s="11">
        <f>D17*F17</f>
        <v/>
      </c>
    </row>
    <row r="18" ht="18" customHeight="1">
      <c r="A18" s="12" t="n">
        <v>2</v>
      </c>
      <c r="B18" s="14" t="inlineStr">
        <is>
          <t>Licencje oprogramowania</t>
        </is>
      </c>
      <c r="C18" s="14" t="inlineStr">
        <is>
          <t>Git / GitHub (bezpłatny plan)</t>
        </is>
      </c>
      <c r="D18" s="15" t="n">
        <v>1</v>
      </c>
      <c r="E18" s="12" t="inlineStr">
        <is>
          <t>szt.</t>
        </is>
      </c>
      <c r="F18" s="24" t="n">
        <v>0</v>
      </c>
      <c r="G18" s="18">
        <f>D18*F18</f>
        <v/>
      </c>
    </row>
    <row r="19" ht="18" customHeight="1">
      <c r="A19" s="5" t="n">
        <v>3</v>
      </c>
      <c r="B19" s="7" t="inlineStr">
        <is>
          <t>Licencje oprogramowania</t>
        </is>
      </c>
      <c r="C19" s="7" t="inlineStr">
        <is>
          <t>MS Project (licencja studencka)</t>
        </is>
      </c>
      <c r="D19" s="8" t="n">
        <v>1</v>
      </c>
      <c r="E19" s="5" t="inlineStr">
        <is>
          <t>szt.</t>
        </is>
      </c>
      <c r="F19" s="23" t="n">
        <v>0</v>
      </c>
      <c r="G19" s="11">
        <f>D19*F19</f>
        <v/>
      </c>
    </row>
    <row r="20" ht="18" customHeight="1">
      <c r="A20" s="12" t="n">
        <v>4</v>
      </c>
      <c r="B20" s="14" t="inlineStr">
        <is>
          <t>Sprzęt</t>
        </is>
      </c>
      <c r="C20" s="14" t="inlineStr">
        <is>
          <t>Komputer deweloperski (amortyzacja)</t>
        </is>
      </c>
      <c r="D20" s="15" t="n">
        <v>1</v>
      </c>
      <c r="E20" s="12" t="inlineStr">
        <is>
          <t>mies.</t>
        </is>
      </c>
      <c r="F20" s="24" t="n">
        <v>200</v>
      </c>
      <c r="G20" s="18">
        <f>D20*F20</f>
        <v/>
      </c>
    </row>
    <row r="21" ht="18" customHeight="1">
      <c r="A21" s="5" t="n">
        <v>5</v>
      </c>
      <c r="B21" s="7" t="inlineStr">
        <is>
          <t>Dokumentacja</t>
        </is>
      </c>
      <c r="C21" s="7" t="inlineStr">
        <is>
          <t>Druk i oprawa dokumentacji projektowej</t>
        </is>
      </c>
      <c r="D21" s="8" t="n">
        <v>1</v>
      </c>
      <c r="E21" s="5" t="inlineStr">
        <is>
          <t>kpl.</t>
        </is>
      </c>
      <c r="F21" s="23" t="n">
        <v>50</v>
      </c>
      <c r="G21" s="11">
        <f>D21*F21</f>
        <v/>
      </c>
    </row>
    <row r="22" ht="18" customHeight="1">
      <c r="A22" s="12" t="n">
        <v>6</v>
      </c>
      <c r="B22" s="14" t="inlineStr">
        <is>
          <t>Rezerwa na nieprzewidziane koszty</t>
        </is>
      </c>
      <c r="C22" s="14" t="inlineStr">
        <is>
          <t>Bufor budżetowy 10%</t>
        </is>
      </c>
      <c r="D22" s="15" t="n">
        <v>1</v>
      </c>
      <c r="E22" s="12" t="inlineStr">
        <is>
          <t>kpl.</t>
        </is>
      </c>
      <c r="F22" s="24">
        <f>G12*0.10</f>
        <v/>
      </c>
      <c r="G22" s="18">
        <f>D22*F22</f>
        <v/>
      </c>
    </row>
    <row r="23" ht="22" customHeight="1">
      <c r="A23" s="25" t="inlineStr">
        <is>
          <t>SUMA KOSZTÓW DODATKOWYCH</t>
        </is>
      </c>
      <c r="B23" s="26" t="n"/>
      <c r="C23" s="26" t="n"/>
      <c r="D23" s="26" t="n"/>
      <c r="E23" s="26" t="n"/>
      <c r="F23" s="26" t="n"/>
      <c r="G23" s="27">
        <f>SUM(G17:G22)</f>
        <v/>
      </c>
    </row>
    <row r="26" ht="20" customHeight="1">
      <c r="A26" s="3" t="inlineStr">
        <is>
          <t>SEKCJA 3 — Podsumowanie budżetu projektu</t>
        </is>
      </c>
    </row>
    <row r="27" ht="20" customHeight="1">
      <c r="A27" s="28" t="inlineStr">
        <is>
          <t>Koszt zasobów ludzkich (suma ról)</t>
        </is>
      </c>
      <c r="B27" s="29" t="n"/>
      <c r="C27" s="29" t="n"/>
      <c r="D27" s="29" t="n"/>
      <c r="E27" s="29" t="n"/>
      <c r="F27" s="29" t="n"/>
      <c r="G27" s="30">
        <f>G12</f>
        <v/>
      </c>
    </row>
    <row r="28" ht="20" customHeight="1">
      <c r="A28" s="28" t="inlineStr">
        <is>
          <t>Koszty dodatkowe</t>
        </is>
      </c>
      <c r="B28" s="29" t="n"/>
      <c r="C28" s="29" t="n"/>
      <c r="D28" s="29" t="n"/>
      <c r="E28" s="29" t="n"/>
      <c r="F28" s="29" t="n"/>
      <c r="G28" s="30">
        <f>G23</f>
        <v/>
      </c>
    </row>
    <row r="29" ht="28" customHeight="1">
      <c r="A29" s="31" t="inlineStr">
        <is>
          <t>CAŁKOWITY BUDŻET PROJEKTU</t>
        </is>
      </c>
      <c r="B29" s="32" t="n"/>
      <c r="C29" s="32" t="n"/>
      <c r="D29" s="32" t="n"/>
      <c r="E29" s="32" t="n"/>
      <c r="F29" s="32" t="n"/>
      <c r="G29" s="33">
        <f>G27+G28</f>
        <v/>
      </c>
    </row>
    <row r="31">
      <c r="A31" s="34" t="inlineStr">
        <is>
          <t>* Komórki niebieskie = dane wejściowe (możliwe do edycji). Czarne = formuły obliczane automatycznie.</t>
        </is>
      </c>
    </row>
  </sheetData>
  <mergeCells count="11">
    <mergeCell ref="A1:G1"/>
    <mergeCell ref="A28:F28"/>
    <mergeCell ref="A31:G31"/>
    <mergeCell ref="A12:D12"/>
    <mergeCell ref="A4:G4"/>
    <mergeCell ref="A27:F27"/>
    <mergeCell ref="A26:G26"/>
    <mergeCell ref="A2:G2"/>
    <mergeCell ref="A23:E23"/>
    <mergeCell ref="A15:G1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2026-06-13T15:56:06Z</dcterms:created>
  <dcterms:modified xmlns:dcterms="http://purl.org/dc/terms/" xmlns:xsi="http://www.w3.org/2001/XMLSchema-instance" xsi:type="dcterms:W3CDTF">2026-06-13T15:56:06Z</dcterms:modified>
</cp:coreProperties>
</file>