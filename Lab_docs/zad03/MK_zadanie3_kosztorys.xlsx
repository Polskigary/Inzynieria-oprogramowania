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ztorys projekt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 &quot;godz.&quot;"/>
    <numFmt numFmtId="165" formatCode="0.00 &quot;PLN&quot;"/>
    <numFmt numFmtId="166" formatCode="#,##0.00 &quot;PLN&quot;"/>
  </numFmts>
  <fonts count="11">
    <font>
      <name val="Calibri"/>
      <family val="2"/>
      <color theme="1"/>
      <sz val="11"/>
      <scheme val="minor"/>
    </font>
    <font>
      <name val="Arial"/>
      <b val="1"/>
      <color rgb="002D6A2D"/>
      <sz val="13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color rgb="001a5a1a"/>
      <sz val="9"/>
    </font>
    <font>
      <name val="Arial"/>
      <b val="1"/>
      <color rgb="00FFFFFF"/>
      <sz val="10"/>
    </font>
    <font>
      <name val="Arial"/>
      <b val="1"/>
      <color rgb="00FFFFFF"/>
      <sz val="13"/>
    </font>
    <font>
      <name val="Arial"/>
      <i val="1"/>
      <color rgb="00666666"/>
      <sz val="8"/>
    </font>
  </fonts>
  <fills count="6">
    <fill>
      <patternFill/>
    </fill>
    <fill>
      <patternFill patternType="gray125"/>
    </fill>
    <fill>
      <patternFill patternType="solid">
        <fgColor rgb="002D6A2D"/>
      </patternFill>
    </fill>
    <fill>
      <patternFill patternType="solid">
        <fgColor rgb="004A904A"/>
      </patternFill>
    </fill>
    <fill>
      <patternFill patternType="solid">
        <fgColor rgb="00FFFFFF"/>
      </patternFill>
    </fill>
    <fill>
      <patternFill patternType="solid">
        <fgColor rgb="00EDF7E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left" vertical="center"/>
    </xf>
    <xf numFmtId="0" fontId="0" fillId="2" borderId="1" pivotButton="0" quotePrefix="0" xfId="0"/>
    <xf numFmtId="164" fontId="8" fillId="2" borderId="1" applyAlignment="1" pivotButton="0" quotePrefix="0" xfId="0">
      <alignment horizontal="center" vertical="center"/>
    </xf>
    <xf numFmtId="166" fontId="8" fillId="2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66" fontId="7" fillId="5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0" fillId="3" borderId="1" pivotButton="0" quotePrefix="0" xfId="0"/>
    <xf numFmtId="166" fontId="8" fillId="3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left" vertical="center"/>
    </xf>
    <xf numFmtId="166" fontId="9" fillId="2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42" customWidth="1" min="3" max="3"/>
    <col width="13" customWidth="1" min="4" max="4"/>
    <col width="13" customWidth="1" min="5" max="5"/>
    <col width="14" customWidth="1" min="6" max="6"/>
    <col width="16" customWidth="1" min="7" max="7"/>
  </cols>
  <sheetData>
    <row r="1" ht="28" customHeight="1">
      <c r="A1" s="1" t="inlineStr">
        <is>
          <t>Kosztorys projektu – Przykładowy plan projektu</t>
        </is>
      </c>
    </row>
    <row r="2" ht="14" customHeight="1">
      <c r="A2" s="2" t="inlineStr">
        <is>
          <t>Inżynieria Oprogramowania | Lab 2, pkt. 8 | Autor: Michał Kondracki | Semestr letni 2025/2026</t>
        </is>
      </c>
    </row>
    <row r="4" ht="20" customHeight="1">
      <c r="A4" s="3" t="inlineStr">
        <is>
          <t>SEKCJA 1 — Nakład pracy według ról (zgodny z harmonogramem projektu)</t>
        </is>
      </c>
    </row>
    <row r="5" ht="26" customHeight="1">
      <c r="A5" s="4" t="inlineStr">
        <is>
          <t>Lp.</t>
        </is>
      </c>
      <c r="B5" s="4" t="inlineStr">
        <is>
          <t>Rola w projekcie</t>
        </is>
      </c>
      <c r="C5" s="4" t="inlineStr">
        <is>
          <t>Zadania realizowane w projekcie</t>
        </is>
      </c>
      <c r="D5" s="4" t="inlineStr">
        <is>
          <t>Liczba osób</t>
        </is>
      </c>
      <c r="E5" s="4" t="inlineStr">
        <is>
          <t>Nakład [godz.]</t>
        </is>
      </c>
      <c r="F5" s="4" t="inlineStr">
        <is>
          <t>Stawka [PLN/h]</t>
        </is>
      </c>
      <c r="G5" s="4" t="inlineStr">
        <is>
          <t>Koszt [PLN]</t>
        </is>
      </c>
    </row>
    <row r="6" ht="20" customHeight="1">
      <c r="A6" s="5" t="n">
        <v>1</v>
      </c>
      <c r="B6" s="6" t="inlineStr">
        <is>
          <t>Project Manager</t>
        </is>
      </c>
      <c r="C6" s="7" t="inlineStr">
        <is>
          <t>Przygotowanie planu projektu (24h) + harmonogramu (24h)</t>
        </is>
      </c>
      <c r="D6" s="8" t="n">
        <v>1</v>
      </c>
      <c r="E6" s="9" t="n">
        <v>48</v>
      </c>
      <c r="F6" s="10" t="n">
        <v>115</v>
      </c>
      <c r="G6" s="11">
        <f>D6*E6*F6</f>
        <v/>
      </c>
    </row>
    <row r="7" ht="20" customHeight="1">
      <c r="A7" s="12" t="n">
        <v>2</v>
      </c>
      <c r="B7" s="13" t="inlineStr">
        <is>
          <t>Business Analyst</t>
        </is>
      </c>
      <c r="C7" s="14" t="inlineStr">
        <is>
          <t>Napisanie specyfikacji wymagań funkcjonalnych</t>
        </is>
      </c>
      <c r="D7" s="15" t="n">
        <v>1</v>
      </c>
      <c r="E7" s="16" t="n">
        <v>24</v>
      </c>
      <c r="F7" s="17" t="n">
        <v>95</v>
      </c>
      <c r="G7" s="18">
        <f>D7*E7*F7</f>
        <v/>
      </c>
    </row>
    <row r="8" ht="20" customHeight="1">
      <c r="A8" s="5" t="n">
        <v>3</v>
      </c>
      <c r="B8" s="6" t="inlineStr">
        <is>
          <t>System Analist</t>
        </is>
      </c>
      <c r="C8" s="7" t="inlineStr">
        <is>
          <t>Przygotowanie analizy specyfikacji wymagań</t>
        </is>
      </c>
      <c r="D8" s="8" t="n">
        <v>1</v>
      </c>
      <c r="E8" s="9" t="n">
        <v>16</v>
      </c>
      <c r="F8" s="10" t="n">
        <v>90</v>
      </c>
      <c r="G8" s="11">
        <f>D8*E8*F8</f>
        <v/>
      </c>
    </row>
    <row r="9" ht="20" customHeight="1">
      <c r="A9" s="12" t="n">
        <v>4</v>
      </c>
      <c r="B9" s="13" t="inlineStr">
        <is>
          <t>System Architect</t>
        </is>
      </c>
      <c r="C9" s="14" t="inlineStr">
        <is>
          <t>Projekt aplikacji (24h) + implementacja kodu (32h) + opis wersji (16h)</t>
        </is>
      </c>
      <c r="D9" s="15" t="n">
        <v>1</v>
      </c>
      <c r="E9" s="16" t="n">
        <v>72</v>
      </c>
      <c r="F9" s="17" t="n">
        <v>105</v>
      </c>
      <c r="G9" s="18">
        <f>D9*E9*F9</f>
        <v/>
      </c>
    </row>
    <row r="10" ht="20" customHeight="1">
      <c r="A10" s="5" t="n">
        <v>5</v>
      </c>
      <c r="B10" s="6" t="inlineStr">
        <is>
          <t>Configuration Manager</t>
        </is>
      </c>
      <c r="C10" s="7" t="inlineStr">
        <is>
          <t>Plan zarządzania konfiguracją (8h) + instalacja pakietów 2× (16h)</t>
        </is>
      </c>
      <c r="D10" s="8" t="n">
        <v>1</v>
      </c>
      <c r="E10" s="9" t="n">
        <v>24</v>
      </c>
      <c r="F10" s="10" t="n">
        <v>80</v>
      </c>
      <c r="G10" s="11">
        <f>D10*E10*F10</f>
        <v/>
      </c>
    </row>
    <row r="11" ht="20" customHeight="1">
      <c r="A11" s="12" t="n">
        <v>6</v>
      </c>
      <c r="B11" s="13" t="inlineStr">
        <is>
          <t>Risk Manager</t>
        </is>
      </c>
      <c r="C11" s="14" t="inlineStr">
        <is>
          <t>Plan zarządzania ryzykiem projektu</t>
        </is>
      </c>
      <c r="D11" s="15" t="n">
        <v>1</v>
      </c>
      <c r="E11" s="16" t="n">
        <v>16</v>
      </c>
      <c r="F11" s="17" t="n">
        <v>85</v>
      </c>
      <c r="G11" s="18">
        <f>D11*E11*F11</f>
        <v/>
      </c>
    </row>
    <row r="12" ht="20" customHeight="1">
      <c r="A12" s="5" t="n">
        <v>7</v>
      </c>
      <c r="B12" s="6" t="inlineStr">
        <is>
          <t>Test Manager</t>
        </is>
      </c>
      <c r="C12" s="7" t="inlineStr">
        <is>
          <t>Plan testów (16h) + środowisko testowe (16h) + akceptacja raportu I (8h)</t>
        </is>
      </c>
      <c r="D12" s="8" t="n">
        <v>1</v>
      </c>
      <c r="E12" s="9" t="n">
        <v>40</v>
      </c>
      <c r="F12" s="10" t="n">
        <v>90</v>
      </c>
      <c r="G12" s="11">
        <f>D12*E12*F12</f>
        <v/>
      </c>
    </row>
    <row r="13" ht="20" customHeight="1">
      <c r="A13" s="12" t="n">
        <v>8</v>
      </c>
      <c r="B13" s="13" t="inlineStr">
        <is>
          <t>Project Management Board</t>
        </is>
      </c>
      <c r="C13" s="14" t="inlineStr">
        <is>
          <t>Akceptacje 7 etapów projektu (7 × 8h)</t>
        </is>
      </c>
      <c r="D13" s="15" t="n">
        <v>1</v>
      </c>
      <c r="E13" s="16" t="n">
        <v>56</v>
      </c>
      <c r="F13" s="17" t="n">
        <v>120</v>
      </c>
      <c r="G13" s="18">
        <f>D13*E13*F13</f>
        <v/>
      </c>
    </row>
    <row r="14" ht="20" customHeight="1">
      <c r="A14" s="5" t="n">
        <v>9</v>
      </c>
      <c r="B14" s="6" t="inlineStr">
        <is>
          <t>Aplication Tester</t>
        </is>
      </c>
      <c r="C14" s="7" t="inlineStr">
        <is>
          <t>Wykonanie I cyklu testów (8h) + II cyklu testów (8h)</t>
        </is>
      </c>
      <c r="D14" s="8" t="n">
        <v>1</v>
      </c>
      <c r="E14" s="9" t="n">
        <v>16</v>
      </c>
      <c r="F14" s="10" t="n">
        <v>80</v>
      </c>
      <c r="G14" s="11">
        <f>D14*E14*F14</f>
        <v/>
      </c>
    </row>
    <row r="15" ht="20" customHeight="1">
      <c r="A15" s="12" t="n">
        <v>10</v>
      </c>
      <c r="B15" s="13" t="inlineStr">
        <is>
          <t>Test Designer</t>
        </is>
      </c>
      <c r="C15" s="14" t="inlineStr">
        <is>
          <t>Akceptacja wyników II cyklu testów</t>
        </is>
      </c>
      <c r="D15" s="15" t="n">
        <v>1</v>
      </c>
      <c r="E15" s="16" t="n">
        <v>8</v>
      </c>
      <c r="F15" s="17" t="n">
        <v>80</v>
      </c>
      <c r="G15" s="18">
        <f>D15*E15*F15</f>
        <v/>
      </c>
    </row>
    <row r="16" ht="22" customHeight="1">
      <c r="A16" s="19" t="inlineStr">
        <is>
          <t>ŁĄCZNY NAKŁAD I KOSZT ROBOCIZNY</t>
        </is>
      </c>
      <c r="B16" s="20" t="n"/>
      <c r="C16" s="20" t="n"/>
      <c r="D16" s="20" t="n"/>
      <c r="E16" s="21">
        <f>SUM(E6:E15)</f>
        <v/>
      </c>
      <c r="F16" s="20" t="n"/>
      <c r="G16" s="22">
        <f>SUM(G6:G15)</f>
        <v/>
      </c>
    </row>
    <row r="19" ht="20" customHeight="1">
      <c r="A19" s="3" t="inlineStr">
        <is>
          <t>SEKCJA 2 — Koszty dodatkowe</t>
        </is>
      </c>
    </row>
    <row r="20" ht="20" customHeight="1">
      <c r="A20" s="4" t="inlineStr">
        <is>
          <t>Lp.</t>
        </is>
      </c>
      <c r="B20" s="4" t="inlineStr">
        <is>
          <t>Kategoria</t>
        </is>
      </c>
      <c r="C20" s="4" t="inlineStr">
        <is>
          <t>Opis</t>
        </is>
      </c>
      <c r="D20" s="4" t="inlineStr">
        <is>
          <t>Ilość</t>
        </is>
      </c>
      <c r="E20" s="4" t="inlineStr">
        <is>
          <t>Jednostka</t>
        </is>
      </c>
      <c r="F20" s="4" t="inlineStr">
        <is>
          <t>Cena jedn.</t>
        </is>
      </c>
      <c r="G20" s="4" t="inlineStr">
        <is>
          <t>Koszt [PLN]</t>
        </is>
      </c>
    </row>
    <row r="21" ht="18" customHeight="1">
      <c r="A21" s="5" t="n">
        <v>1</v>
      </c>
      <c r="B21" s="23" t="inlineStr">
        <is>
          <t>Licencje</t>
        </is>
      </c>
      <c r="C21" s="23" t="inlineStr">
        <is>
          <t>Visual Studio Code + Git (bezpłatne)</t>
        </is>
      </c>
      <c r="D21" s="5" t="n">
        <v>1</v>
      </c>
      <c r="E21" s="23" t="inlineStr">
        <is>
          <t>szt.</t>
        </is>
      </c>
      <c r="F21" s="5" t="n">
        <v>0</v>
      </c>
      <c r="G21" s="11">
        <f>D21*F21</f>
        <v/>
      </c>
    </row>
    <row r="22" ht="18" customHeight="1">
      <c r="A22" s="12" t="n">
        <v>2</v>
      </c>
      <c r="B22" s="24" t="inlineStr">
        <is>
          <t>Sprzęt</t>
        </is>
      </c>
      <c r="C22" s="24" t="inlineStr">
        <is>
          <t>Amortyzacja komputerów (4 os. × 2 mies.)</t>
        </is>
      </c>
      <c r="D22" s="12" t="n">
        <v>4</v>
      </c>
      <c r="E22" s="24" t="inlineStr">
        <is>
          <t>mies.</t>
        </is>
      </c>
      <c r="F22" s="12" t="n">
        <v>200</v>
      </c>
      <c r="G22" s="18">
        <f>D22*F22</f>
        <v/>
      </c>
    </row>
    <row r="23" ht="18" customHeight="1">
      <c r="A23" s="5" t="n">
        <v>3</v>
      </c>
      <c r="B23" s="23" t="inlineStr">
        <is>
          <t>Dokumentacja</t>
        </is>
      </c>
      <c r="C23" s="23" t="inlineStr">
        <is>
          <t>Druk i oprawa dokumentacji projektowej</t>
        </is>
      </c>
      <c r="D23" s="5" t="n">
        <v>1</v>
      </c>
      <c r="E23" s="23" t="inlineStr">
        <is>
          <t>kpl.</t>
        </is>
      </c>
      <c r="F23" s="5" t="n">
        <v>80</v>
      </c>
      <c r="G23" s="11">
        <f>D23*F23</f>
        <v/>
      </c>
    </row>
    <row r="24" ht="18" customHeight="1">
      <c r="A24" s="12" t="n">
        <v>4</v>
      </c>
      <c r="B24" s="24" t="inlineStr">
        <is>
          <t>Rezerwa</t>
        </is>
      </c>
      <c r="C24" s="24" t="inlineStr">
        <is>
          <t>Bufor budżetowy 10% kosztu robocizny</t>
        </is>
      </c>
      <c r="D24" s="12" t="n">
        <v>1</v>
      </c>
      <c r="E24" s="24" t="inlineStr">
        <is>
          <t>kpl.</t>
        </is>
      </c>
      <c r="F24" s="25">
        <f>G16*0.10</f>
        <v/>
      </c>
      <c r="G24" s="11">
        <f>D24*F24</f>
        <v/>
      </c>
    </row>
    <row r="25" ht="22" customHeight="1">
      <c r="A25" s="26" t="inlineStr">
        <is>
          <t>SUMA KOSZTÓW DODATKOWYCH</t>
        </is>
      </c>
      <c r="B25" s="27" t="n"/>
      <c r="C25" s="27" t="n"/>
      <c r="D25" s="27" t="n"/>
      <c r="E25" s="27" t="n"/>
      <c r="F25" s="27" t="n"/>
      <c r="G25" s="28">
        <f>SUM(G21:G24)</f>
        <v/>
      </c>
    </row>
    <row r="28" ht="28" customHeight="1">
      <c r="A28" s="29" t="inlineStr">
        <is>
          <t>CAŁKOWITY BUDŻET PROJEKTU</t>
        </is>
      </c>
      <c r="B28" s="20" t="n"/>
      <c r="C28" s="20" t="n"/>
      <c r="D28" s="20" t="n"/>
      <c r="E28" s="20" t="n"/>
      <c r="F28" s="20" t="n"/>
      <c r="G28" s="30">
        <f>G16+G25</f>
        <v/>
      </c>
    </row>
    <row r="30">
      <c r="A30" s="31" t="inlineStr">
        <is>
          <t>* Nakład godzinowy wynika z harmonogramu projektu MS Project.</t>
        </is>
      </c>
    </row>
  </sheetData>
  <mergeCells count="8">
    <mergeCell ref="A1:G1"/>
    <mergeCell ref="A28:F28"/>
    <mergeCell ref="A25:E25"/>
    <mergeCell ref="A4:G4"/>
    <mergeCell ref="A30:G30"/>
    <mergeCell ref="A2:G2"/>
    <mergeCell ref="A16:D16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2026-06-18T17:57:17Z</dcterms:created>
  <dcterms:modified xmlns:dcterms="http://purl.org/dc/terms/" xmlns:xsi="http://www.w3.org/2001/XMLSchema-instance" xsi:type="dcterms:W3CDTF">2026-06-18T17:57:17Z</dcterms:modified>
</cp:coreProperties>
</file>